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G60" i="1" l="1"/>
  <c r="G59" i="1"/>
  <c r="G58" i="1"/>
  <c r="G57" i="1"/>
  <c r="G56" i="1"/>
  <c r="G55" i="1"/>
  <c r="G54" i="1"/>
  <c r="G53" i="1"/>
  <c r="G52" i="1"/>
  <c r="G51" i="1"/>
  <c r="G50" i="1"/>
  <c r="G49" i="1"/>
  <c r="E60" i="1" l="1"/>
  <c r="E59" i="1"/>
  <c r="E58" i="1"/>
  <c r="E57" i="1"/>
  <c r="E56" i="1"/>
  <c r="E55" i="1"/>
  <c r="E54" i="1"/>
  <c r="E53" i="1"/>
  <c r="E52" i="1"/>
  <c r="E51" i="1"/>
  <c r="E50" i="1"/>
  <c r="C55" i="1"/>
  <c r="C49" i="1"/>
  <c r="E49" i="1"/>
  <c r="F59" i="1" l="1"/>
  <c r="F52" i="1"/>
  <c r="F60" i="1"/>
  <c r="F58" i="1"/>
  <c r="F57" i="1"/>
  <c r="F56" i="1"/>
  <c r="F53" i="1"/>
  <c r="F49" i="1"/>
  <c r="F55" i="1" l="1"/>
  <c r="F50" i="1"/>
  <c r="F54" i="1"/>
  <c r="F51" i="1"/>
  <c r="C34" i="1"/>
  <c r="E38" i="1"/>
  <c r="C4" i="1" l="1"/>
  <c r="E8" i="1"/>
  <c r="E11" i="1" l="1"/>
  <c r="E14" i="1"/>
  <c r="E15" i="1"/>
  <c r="E12" i="1"/>
  <c r="E10" i="1"/>
  <c r="E6" i="1"/>
  <c r="E4" i="1"/>
  <c r="E9" i="1"/>
  <c r="E5" i="1"/>
  <c r="C10" i="1"/>
  <c r="E26" i="1"/>
  <c r="E30" i="1"/>
  <c r="E25" i="1"/>
  <c r="E29" i="1"/>
  <c r="E27" i="1"/>
  <c r="E21" i="1"/>
  <c r="E19" i="1"/>
  <c r="E20" i="1"/>
  <c r="E24" i="1"/>
  <c r="E23" i="1"/>
  <c r="C25" i="1"/>
  <c r="C19" i="1"/>
  <c r="E45" i="1" l="1"/>
  <c r="E44" i="1"/>
  <c r="E42" i="1"/>
  <c r="E41" i="1"/>
  <c r="E40" i="1"/>
  <c r="E39" i="1"/>
  <c r="F38" i="1"/>
  <c r="E36" i="1"/>
  <c r="E35" i="1"/>
  <c r="E34" i="1"/>
  <c r="F34" i="1" s="1"/>
  <c r="C40" i="1"/>
  <c r="F43" i="1" s="1"/>
  <c r="F37" i="1"/>
  <c r="F29" i="1"/>
  <c r="F25" i="1"/>
  <c r="F23" i="1"/>
  <c r="F19" i="1"/>
  <c r="F21" i="1"/>
  <c r="F42" i="1"/>
  <c r="F28" i="1"/>
  <c r="F22" i="1"/>
  <c r="F15" i="1"/>
  <c r="F14" i="1"/>
  <c r="F13" i="1"/>
  <c r="F12" i="1"/>
  <c r="F11" i="1"/>
  <c r="F10" i="1"/>
  <c r="F9" i="1"/>
  <c r="F8" i="1"/>
  <c r="F7" i="1"/>
  <c r="F6" i="1"/>
  <c r="F5" i="1"/>
  <c r="F4" i="1"/>
  <c r="F44" i="1" l="1"/>
  <c r="F40" i="1"/>
  <c r="F45" i="1"/>
  <c r="F41" i="1"/>
  <c r="F35" i="1"/>
  <c r="F39" i="1"/>
  <c r="F36" i="1"/>
  <c r="F27" i="1"/>
  <c r="F26" i="1"/>
  <c r="F30" i="1"/>
  <c r="F20" i="1"/>
  <c r="F24" i="1"/>
</calcChain>
</file>

<file path=xl/sharedStrings.xml><?xml version="1.0" encoding="utf-8"?>
<sst xmlns="http://schemas.openxmlformats.org/spreadsheetml/2006/main" count="152" uniqueCount="74">
  <si>
    <t>Batch Size</t>
  </si>
  <si>
    <t>Batch Qty (Kg)</t>
  </si>
  <si>
    <t>Small</t>
  </si>
  <si>
    <t>Total No. Batch</t>
  </si>
  <si>
    <t>Batch %</t>
  </si>
  <si>
    <t>Merchandiser</t>
  </si>
  <si>
    <t>NMT</t>
  </si>
  <si>
    <t>ONL</t>
  </si>
  <si>
    <t>ONS</t>
  </si>
  <si>
    <t>GT</t>
  </si>
  <si>
    <t>OVS</t>
  </si>
  <si>
    <t>UTG</t>
  </si>
  <si>
    <t>Medium</t>
  </si>
  <si>
    <t xml:space="preserve">Buyer </t>
  </si>
  <si>
    <t>No. of Batch</t>
  </si>
  <si>
    <t>Batch Size Analysis- Oct'24</t>
  </si>
  <si>
    <t>Shofi-17</t>
  </si>
  <si>
    <t>Mausd Rana-7, Rony-5</t>
  </si>
  <si>
    <t>Batch Size Analysis- Nov'24</t>
  </si>
  <si>
    <t>Batch Size Analysis- Dec'24</t>
  </si>
  <si>
    <t>Combined Batch</t>
  </si>
  <si>
    <t>Shofi-7</t>
  </si>
  <si>
    <t>Jafor-14, Zaman-21, Mahmud-3, Tomal-16, Snaulla-4, Sabbir-25, Shamoly-3</t>
  </si>
  <si>
    <t>Khalid-26, Mainul-23, Imran-41, B.Jit-20, Haider-10, Jannati-2, Kabir-1</t>
  </si>
  <si>
    <t>Shohag-45, Shovon-12</t>
  </si>
  <si>
    <t>Bashir-11, Sirajul-5, Khairul-6, Momin-5, Salam-7</t>
  </si>
  <si>
    <t xml:space="preserve"> Jafor-6 Zaman-7, Sabbir-5, Shamoly-3, Tomal-3</t>
  </si>
  <si>
    <t>Imran-14, Khalid-8, Mainul-13, B.Jit-5, Haider-2, Kabir-3, Aforza-5</t>
  </si>
  <si>
    <t xml:space="preserve"> Shohag-4, Shovon-13, Junior-4</t>
  </si>
  <si>
    <t>Bashir-21, Khairul-8, Momin-5, Sirajul-2, Salam-1, S.Imran-1</t>
  </si>
  <si>
    <t>Rony-31, Masud Rana-20</t>
  </si>
  <si>
    <t>Jafor-13, Zaman-17, Tomal-4, Sabbir-20, Sanaulla-15, Shamoly-5</t>
  </si>
  <si>
    <t>Atik-14, B.Jit-25, Haider-10, Imran-16, Kabir-14, Mainul-15, Khalid-5, Dalim-1</t>
  </si>
  <si>
    <t>Morad-7, Shofi-9</t>
  </si>
  <si>
    <t>Shohag-18, Shovon-17, Junior-9</t>
  </si>
  <si>
    <t>Khairul-18, Momin-15, Sirajul-7, S.Imran-4, Salam-3</t>
  </si>
  <si>
    <t>Rony-36, Masud Rana-22</t>
  </si>
  <si>
    <t>Zaman-6, Jafor-8, Sabbir-3, Shamoly-6, Tomal-3, Sanaulla-2</t>
  </si>
  <si>
    <t>Kabir-7, Jannati-8, B.Jit-11, Mainul-4 Haider-2, Imran-10, Khalid-3, Dalim-4</t>
  </si>
  <si>
    <t xml:space="preserve"> Shohag-16, Shovon-8, Junior-6</t>
  </si>
  <si>
    <t>Morad-4, Shofi-5</t>
  </si>
  <si>
    <t>Khairul-20, Momin-10, Salam-4, Bashir-4, Sirajul-2</t>
  </si>
  <si>
    <t>Mausd Rana-22, Rony-16</t>
  </si>
  <si>
    <t>Jafor-11, Sabbir-20, Zaman-22, Shamoly-5, Tomal-12, Mahmud-7</t>
  </si>
  <si>
    <t>Haider-20, Mainul-23, Atik-16, B.Jit-17, Kabir-7, Jannati-6, Khalid-10, Dalim-2, Imran-15</t>
  </si>
  <si>
    <t>Shovon-17, Shohag-12</t>
  </si>
  <si>
    <t>Morad-2, Shofi-2</t>
  </si>
  <si>
    <t>Momin-10, Basir-7, Sirajul-12, Khairul-4</t>
  </si>
  <si>
    <t>Rony-22, Masud Rana-12</t>
  </si>
  <si>
    <t>Jafor-1, Zaman-2, Sabbir-1, Mahmud-1, Tomal-2, Shamoly-1</t>
  </si>
  <si>
    <t>Atik-11, B.Jit-15, Dalim-2, Haider-3, Mainul-5, Imran-9, Khalid-1, Kabir-1</t>
  </si>
  <si>
    <t xml:space="preserve"> Shohag-8, Shovon-16</t>
  </si>
  <si>
    <t>Morad-4, Shofi-3</t>
  </si>
  <si>
    <t xml:space="preserve"> Bashir-4, Momin-3, Khairul-3, Sirajul-6</t>
  </si>
  <si>
    <t xml:space="preserve"> Rony-15, Rana-9</t>
  </si>
  <si>
    <t>Total Batch-894 , Small(1-300Kg)-331 (37%), Medium(301-650Kg)-219 (24.5%), Large(650-Above)-344 (38.5%)</t>
  </si>
  <si>
    <t>1 - 300 Kg</t>
  </si>
  <si>
    <t>301 - 650 Kg</t>
  </si>
  <si>
    <t>Total Batch-972 , Small(1-300Kg)-389 (40.1%), Medium(301-650Kg)-226 (23.3%), Large(650-Above)-357 (36.6%)</t>
  </si>
  <si>
    <t>Total Batch-967 , Small(1-300Kg)-356 (36.8%), Medium(301-650Kg)-248 (25.6%), Large(650-Above)-363 (37.6%)</t>
  </si>
  <si>
    <t>Summary (Average of Oct, Nov &amp; Dec)</t>
  </si>
  <si>
    <t>Total Batch-945 , Small(1-300Kg)-359 (38%), Medium(301-650Kg)-231 (24.5%), Large(650-Above)-355 (37.5%)</t>
  </si>
  <si>
    <t>Jafor-13, Sabbir-22, Zaman-20, Shamoly-4, Tomal-11, Mahmud-4, Sanaulla-2</t>
  </si>
  <si>
    <t>Jafor-5, Zaman-5, Sabbir-3, Mahmud-1, Tomal-3, Shamoly-3, Sanaulla-1</t>
  </si>
  <si>
    <t>Haider-13, Mainul-20, Atik/Jannti-13, B.Jit-21, Kabir-7, Khalid-14, Dalim-1, Imran-24</t>
  </si>
  <si>
    <t>Atik/Jannati-12, B.Jit-11, Dalim-2, Haider-8, Mainul-13, Imran-13, Khalid-7, Kabir-6</t>
  </si>
  <si>
    <t>Shovon-15, Shohag-25, Junior-3</t>
  </si>
  <si>
    <t xml:space="preserve"> Shohag-9, Shovon-12, Junior-3</t>
  </si>
  <si>
    <t>Rony-21, Masud Rana-14</t>
  </si>
  <si>
    <t xml:space="preserve"> Rony-18, Rana-17</t>
  </si>
  <si>
    <t>Morad-3, Shofi-9</t>
  </si>
  <si>
    <t>Morad-3, Shofi-5</t>
  </si>
  <si>
    <t>Momin-10, Basir-6, Sirajul-8, Khairul-9, Salam-3, S.Imran-1</t>
  </si>
  <si>
    <t>Momin-6, Basir-10, Sirajul-3, Khairul-10, Salam-2, S.Imran-1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</si>
</sst>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selection activeCell="R10" sqref="R10"/>
    </sheetView>
  </sheetViews>
  <sheetFormatPr defaultRowHeight="15" x14ac:dyDescent="0.25"/>
  <cols>
    <col min="1" max="1" width="9" customWidth="1"/>
    <col min="2" max="2" width="12.140625" customWidth="1"/>
    <col min="3" max="3" width="6.85546875" customWidth="1"/>
    <col min="4" max="4" width="7.42578125" customWidth="1"/>
    <col min="5" max="5" width="8.42578125" customWidth="1"/>
    <col min="8" max="8" width="36.140625" customWidth="1"/>
  </cols>
  <sheetData>
    <row r="1" spans="1:8" ht="17.25" customHeight="1" x14ac:dyDescent="0.25">
      <c r="A1" s="17" t="s">
        <v>15</v>
      </c>
      <c r="B1" s="17"/>
      <c r="C1" s="17"/>
      <c r="D1" s="17"/>
      <c r="E1" s="17"/>
      <c r="F1" s="17"/>
      <c r="G1" s="17"/>
      <c r="H1" s="17"/>
    </row>
    <row r="2" spans="1:8" ht="22.5" customHeight="1" x14ac:dyDescent="0.25">
      <c r="A2" s="14" t="s">
        <v>58</v>
      </c>
      <c r="B2" s="15"/>
      <c r="C2" s="15"/>
      <c r="D2" s="15"/>
      <c r="E2" s="15"/>
      <c r="F2" s="15"/>
      <c r="G2" s="15"/>
      <c r="H2" s="16"/>
    </row>
    <row r="3" spans="1:8" ht="38.25" customHeight="1" x14ac:dyDescent="0.25">
      <c r="A3" s="1" t="s">
        <v>0</v>
      </c>
      <c r="B3" s="2" t="s">
        <v>1</v>
      </c>
      <c r="C3" s="2" t="s">
        <v>3</v>
      </c>
      <c r="D3" s="2" t="s">
        <v>13</v>
      </c>
      <c r="E3" s="2" t="s">
        <v>14</v>
      </c>
      <c r="F3" s="1" t="s">
        <v>4</v>
      </c>
      <c r="G3" s="2" t="s">
        <v>20</v>
      </c>
      <c r="H3" s="1" t="s">
        <v>5</v>
      </c>
    </row>
    <row r="4" spans="1:8" ht="31.5" customHeight="1" x14ac:dyDescent="0.25">
      <c r="A4" s="10" t="s">
        <v>2</v>
      </c>
      <c r="B4" s="10" t="s">
        <v>56</v>
      </c>
      <c r="C4" s="18">
        <f>195+194</f>
        <v>389</v>
      </c>
      <c r="D4" s="1" t="s">
        <v>6</v>
      </c>
      <c r="E4" s="1">
        <f>36+58</f>
        <v>94</v>
      </c>
      <c r="F4" s="3">
        <f>E4/C4</f>
        <v>0.2416452442159383</v>
      </c>
      <c r="G4" s="4">
        <v>8</v>
      </c>
      <c r="H4" s="2" t="s">
        <v>22</v>
      </c>
    </row>
    <row r="5" spans="1:8" ht="31.5" customHeight="1" x14ac:dyDescent="0.25">
      <c r="A5" s="10"/>
      <c r="B5" s="10"/>
      <c r="C5" s="19"/>
      <c r="D5" s="1" t="s">
        <v>7</v>
      </c>
      <c r="E5" s="1">
        <f>63+70</f>
        <v>133</v>
      </c>
      <c r="F5" s="3">
        <f>E5/C4</f>
        <v>0.34190231362467866</v>
      </c>
      <c r="G5" s="4">
        <v>6</v>
      </c>
      <c r="H5" s="2" t="s">
        <v>23</v>
      </c>
    </row>
    <row r="6" spans="1:8" ht="21.75" customHeight="1" x14ac:dyDescent="0.25">
      <c r="A6" s="10"/>
      <c r="B6" s="10"/>
      <c r="C6" s="19"/>
      <c r="D6" s="1" t="s">
        <v>8</v>
      </c>
      <c r="E6" s="1">
        <f>33+25</f>
        <v>58</v>
      </c>
      <c r="F6" s="3">
        <f>E6/C4</f>
        <v>0.14910025706940874</v>
      </c>
      <c r="G6" s="4">
        <v>1</v>
      </c>
      <c r="H6" s="2" t="s">
        <v>24</v>
      </c>
    </row>
    <row r="7" spans="1:8" ht="21.75" customHeight="1" x14ac:dyDescent="0.25">
      <c r="A7" s="10"/>
      <c r="B7" s="10"/>
      <c r="C7" s="19"/>
      <c r="D7" s="1" t="s">
        <v>9</v>
      </c>
      <c r="E7" s="1">
        <v>17</v>
      </c>
      <c r="F7" s="3">
        <f>E7/C4</f>
        <v>4.3701799485861184E-2</v>
      </c>
      <c r="G7" s="4">
        <v>1</v>
      </c>
      <c r="H7" s="2" t="s">
        <v>16</v>
      </c>
    </row>
    <row r="8" spans="1:8" ht="27" customHeight="1" x14ac:dyDescent="0.25">
      <c r="A8" s="10"/>
      <c r="B8" s="10"/>
      <c r="C8" s="19"/>
      <c r="D8" s="1" t="s">
        <v>10</v>
      </c>
      <c r="E8" s="1">
        <f>20+14</f>
        <v>34</v>
      </c>
      <c r="F8" s="3">
        <f>E8/C4</f>
        <v>8.7403598971722368E-2</v>
      </c>
      <c r="G8" s="4">
        <v>0</v>
      </c>
      <c r="H8" s="2" t="s">
        <v>25</v>
      </c>
    </row>
    <row r="9" spans="1:8" ht="22.5" customHeight="1" x14ac:dyDescent="0.25">
      <c r="A9" s="10"/>
      <c r="B9" s="10"/>
      <c r="C9" s="20"/>
      <c r="D9" s="1" t="s">
        <v>11</v>
      </c>
      <c r="E9" s="1">
        <f>12+41</f>
        <v>53</v>
      </c>
      <c r="F9" s="3">
        <f>E9/C4</f>
        <v>0.13624678663239073</v>
      </c>
      <c r="G9" s="4">
        <v>0</v>
      </c>
      <c r="H9" s="2" t="s">
        <v>17</v>
      </c>
    </row>
    <row r="10" spans="1:8" ht="27.75" customHeight="1" x14ac:dyDescent="0.25">
      <c r="A10" s="10" t="s">
        <v>12</v>
      </c>
      <c r="B10" s="10" t="s">
        <v>57</v>
      </c>
      <c r="C10" s="18">
        <f>96+130</f>
        <v>226</v>
      </c>
      <c r="D10" s="1" t="s">
        <v>6</v>
      </c>
      <c r="E10" s="1">
        <f>13+30</f>
        <v>43</v>
      </c>
      <c r="F10" s="3">
        <f>E10/C10</f>
        <v>0.19026548672566371</v>
      </c>
      <c r="G10" s="4">
        <v>19</v>
      </c>
      <c r="H10" s="2" t="s">
        <v>26</v>
      </c>
    </row>
    <row r="11" spans="1:8" ht="33.75" customHeight="1" x14ac:dyDescent="0.25">
      <c r="A11" s="10"/>
      <c r="B11" s="10"/>
      <c r="C11" s="19"/>
      <c r="D11" s="1" t="s">
        <v>7</v>
      </c>
      <c r="E11" s="1">
        <f>18+41</f>
        <v>59</v>
      </c>
      <c r="F11" s="3">
        <f>E11/C10</f>
        <v>0.26106194690265488</v>
      </c>
      <c r="G11" s="4">
        <v>9</v>
      </c>
      <c r="H11" s="2" t="s">
        <v>27</v>
      </c>
    </row>
    <row r="12" spans="1:8" ht="28.5" customHeight="1" x14ac:dyDescent="0.25">
      <c r="A12" s="10"/>
      <c r="B12" s="10"/>
      <c r="C12" s="19"/>
      <c r="D12" s="1" t="s">
        <v>8</v>
      </c>
      <c r="E12" s="1">
        <f>10+15</f>
        <v>25</v>
      </c>
      <c r="F12" s="3">
        <f>E12/C10</f>
        <v>0.11061946902654868</v>
      </c>
      <c r="G12" s="4">
        <v>4</v>
      </c>
      <c r="H12" s="2" t="s">
        <v>28</v>
      </c>
    </row>
    <row r="13" spans="1:8" ht="21" customHeight="1" x14ac:dyDescent="0.25">
      <c r="A13" s="10"/>
      <c r="B13" s="10"/>
      <c r="C13" s="19"/>
      <c r="D13" s="1" t="s">
        <v>9</v>
      </c>
      <c r="E13" s="1">
        <v>7</v>
      </c>
      <c r="F13" s="3">
        <f>E13/C10</f>
        <v>3.0973451327433628E-2</v>
      </c>
      <c r="G13" s="4">
        <v>5</v>
      </c>
      <c r="H13" s="2" t="s">
        <v>21</v>
      </c>
    </row>
    <row r="14" spans="1:8" ht="33.75" customHeight="1" x14ac:dyDescent="0.25">
      <c r="A14" s="10"/>
      <c r="B14" s="10"/>
      <c r="C14" s="19"/>
      <c r="D14" s="1" t="s">
        <v>10</v>
      </c>
      <c r="E14" s="1">
        <f>20+19</f>
        <v>39</v>
      </c>
      <c r="F14" s="3">
        <f>E14/C10</f>
        <v>0.17256637168141592</v>
      </c>
      <c r="G14" s="4">
        <v>1</v>
      </c>
      <c r="H14" s="2" t="s">
        <v>29</v>
      </c>
    </row>
    <row r="15" spans="1:8" ht="23.25" customHeight="1" x14ac:dyDescent="0.25">
      <c r="A15" s="10"/>
      <c r="B15" s="10"/>
      <c r="C15" s="20"/>
      <c r="D15" s="1" t="s">
        <v>11</v>
      </c>
      <c r="E15" s="1">
        <f>28+25</f>
        <v>53</v>
      </c>
      <c r="F15" s="3">
        <f>E15/C10</f>
        <v>0.23451327433628319</v>
      </c>
      <c r="G15" s="4">
        <v>2</v>
      </c>
      <c r="H15" s="2" t="s">
        <v>30</v>
      </c>
    </row>
    <row r="16" spans="1:8" ht="20.25" customHeight="1" x14ac:dyDescent="0.25">
      <c r="A16" s="17" t="s">
        <v>18</v>
      </c>
      <c r="B16" s="17"/>
      <c r="C16" s="17"/>
      <c r="D16" s="17"/>
      <c r="E16" s="17"/>
      <c r="F16" s="17"/>
      <c r="G16" s="17"/>
      <c r="H16" s="17"/>
    </row>
    <row r="17" spans="1:8" ht="22.5" customHeight="1" x14ac:dyDescent="0.25">
      <c r="A17" s="14" t="s">
        <v>59</v>
      </c>
      <c r="B17" s="15"/>
      <c r="C17" s="15"/>
      <c r="D17" s="15"/>
      <c r="E17" s="15"/>
      <c r="F17" s="15"/>
      <c r="G17" s="15"/>
      <c r="H17" s="16"/>
    </row>
    <row r="18" spans="1:8" ht="38.25" customHeight="1" x14ac:dyDescent="0.25">
      <c r="A18" s="1" t="s">
        <v>0</v>
      </c>
      <c r="B18" s="2" t="s">
        <v>1</v>
      </c>
      <c r="C18" s="2" t="s">
        <v>3</v>
      </c>
      <c r="D18" s="2" t="s">
        <v>13</v>
      </c>
      <c r="E18" s="2" t="s">
        <v>14</v>
      </c>
      <c r="F18" s="1" t="s">
        <v>4</v>
      </c>
      <c r="G18" s="2" t="s">
        <v>20</v>
      </c>
      <c r="H18" s="1" t="s">
        <v>5</v>
      </c>
    </row>
    <row r="19" spans="1:8" ht="30" customHeight="1" x14ac:dyDescent="0.25">
      <c r="A19" s="10" t="s">
        <v>2</v>
      </c>
      <c r="B19" s="10" t="s">
        <v>56</v>
      </c>
      <c r="C19" s="18">
        <f>181+175</f>
        <v>356</v>
      </c>
      <c r="D19" s="1" t="s">
        <v>6</v>
      </c>
      <c r="E19" s="1">
        <f>38+47</f>
        <v>85</v>
      </c>
      <c r="F19" s="3">
        <f>E19/C19</f>
        <v>0.23876404494382023</v>
      </c>
      <c r="G19" s="4">
        <v>11</v>
      </c>
      <c r="H19" s="2" t="s">
        <v>31</v>
      </c>
    </row>
    <row r="20" spans="1:8" ht="30" customHeight="1" x14ac:dyDescent="0.25">
      <c r="A20" s="10"/>
      <c r="B20" s="10"/>
      <c r="C20" s="19"/>
      <c r="D20" s="1" t="s">
        <v>7</v>
      </c>
      <c r="E20" s="1">
        <f>50+51</f>
        <v>101</v>
      </c>
      <c r="F20" s="3">
        <f>E20/C19</f>
        <v>0.28370786516853935</v>
      </c>
      <c r="G20" s="4">
        <v>1</v>
      </c>
      <c r="H20" s="2" t="s">
        <v>32</v>
      </c>
    </row>
    <row r="21" spans="1:8" ht="23.25" customHeight="1" x14ac:dyDescent="0.25">
      <c r="A21" s="10"/>
      <c r="B21" s="10"/>
      <c r="C21" s="19"/>
      <c r="D21" s="1" t="s">
        <v>8</v>
      </c>
      <c r="E21" s="1">
        <f>21+24</f>
        <v>45</v>
      </c>
      <c r="F21" s="3">
        <f>E21/C19</f>
        <v>0.12640449438202248</v>
      </c>
      <c r="G21" s="4">
        <v>1</v>
      </c>
      <c r="H21" s="2" t="s">
        <v>34</v>
      </c>
    </row>
    <row r="22" spans="1:8" ht="23.25" customHeight="1" x14ac:dyDescent="0.25">
      <c r="A22" s="10"/>
      <c r="B22" s="10"/>
      <c r="C22" s="19"/>
      <c r="D22" s="1" t="s">
        <v>9</v>
      </c>
      <c r="E22" s="1">
        <v>17</v>
      </c>
      <c r="F22" s="3">
        <f>E22/C19</f>
        <v>4.7752808988764044E-2</v>
      </c>
      <c r="G22" s="4">
        <v>1</v>
      </c>
      <c r="H22" s="2" t="s">
        <v>33</v>
      </c>
    </row>
    <row r="23" spans="1:8" ht="30" customHeight="1" x14ac:dyDescent="0.25">
      <c r="A23" s="10"/>
      <c r="B23" s="10"/>
      <c r="C23" s="19"/>
      <c r="D23" s="1" t="s">
        <v>10</v>
      </c>
      <c r="E23" s="1">
        <f>30+20</f>
        <v>50</v>
      </c>
      <c r="F23" s="3">
        <f>E23/C19</f>
        <v>0.1404494382022472</v>
      </c>
      <c r="G23" s="4">
        <v>1</v>
      </c>
      <c r="H23" s="2" t="s">
        <v>35</v>
      </c>
    </row>
    <row r="24" spans="1:8" ht="22.5" customHeight="1" x14ac:dyDescent="0.25">
      <c r="A24" s="10"/>
      <c r="B24" s="10"/>
      <c r="C24" s="20"/>
      <c r="D24" s="1" t="s">
        <v>11</v>
      </c>
      <c r="E24" s="1">
        <f>25+33</f>
        <v>58</v>
      </c>
      <c r="F24" s="3">
        <f>E24/C19</f>
        <v>0.16292134831460675</v>
      </c>
      <c r="G24" s="4">
        <v>0</v>
      </c>
      <c r="H24" s="2" t="s">
        <v>36</v>
      </c>
    </row>
    <row r="25" spans="1:8" ht="30" customHeight="1" x14ac:dyDescent="0.25">
      <c r="A25" s="10" t="s">
        <v>12</v>
      </c>
      <c r="B25" s="10" t="s">
        <v>57</v>
      </c>
      <c r="C25" s="18">
        <f>90+158</f>
        <v>248</v>
      </c>
      <c r="D25" s="1" t="s">
        <v>6</v>
      </c>
      <c r="E25" s="1">
        <f>9+45</f>
        <v>54</v>
      </c>
      <c r="F25" s="3">
        <f>E25/C25</f>
        <v>0.21774193548387097</v>
      </c>
      <c r="G25" s="4">
        <v>26</v>
      </c>
      <c r="H25" s="2" t="s">
        <v>37</v>
      </c>
    </row>
    <row r="26" spans="1:8" ht="30" customHeight="1" x14ac:dyDescent="0.25">
      <c r="A26" s="10"/>
      <c r="B26" s="10"/>
      <c r="C26" s="19"/>
      <c r="D26" s="1" t="s">
        <v>7</v>
      </c>
      <c r="E26" s="1">
        <f>19+42</f>
        <v>61</v>
      </c>
      <c r="F26" s="3">
        <f>E26/C25</f>
        <v>0.24596774193548387</v>
      </c>
      <c r="G26" s="4">
        <v>12</v>
      </c>
      <c r="H26" s="2" t="s">
        <v>38</v>
      </c>
    </row>
    <row r="27" spans="1:8" ht="25.5" customHeight="1" x14ac:dyDescent="0.25">
      <c r="A27" s="10"/>
      <c r="B27" s="10"/>
      <c r="C27" s="19"/>
      <c r="D27" s="1" t="s">
        <v>8</v>
      </c>
      <c r="E27" s="1">
        <f>16+18</f>
        <v>34</v>
      </c>
      <c r="F27" s="3">
        <f>E27/C25</f>
        <v>0.13709677419354838</v>
      </c>
      <c r="G27" s="4">
        <v>4</v>
      </c>
      <c r="H27" s="2" t="s">
        <v>39</v>
      </c>
    </row>
    <row r="28" spans="1:8" ht="21.75" customHeight="1" x14ac:dyDescent="0.25">
      <c r="A28" s="10"/>
      <c r="B28" s="10"/>
      <c r="C28" s="19"/>
      <c r="D28" s="1" t="s">
        <v>9</v>
      </c>
      <c r="E28" s="1">
        <v>12</v>
      </c>
      <c r="F28" s="3">
        <f>E28/C25</f>
        <v>4.8387096774193547E-2</v>
      </c>
      <c r="G28" s="4">
        <v>3</v>
      </c>
      <c r="H28" s="2" t="s">
        <v>40</v>
      </c>
    </row>
    <row r="29" spans="1:8" ht="30" customHeight="1" x14ac:dyDescent="0.25">
      <c r="A29" s="10"/>
      <c r="B29" s="10"/>
      <c r="C29" s="19"/>
      <c r="D29" s="1" t="s">
        <v>10</v>
      </c>
      <c r="E29" s="1">
        <f>15+31</f>
        <v>46</v>
      </c>
      <c r="F29" s="3">
        <f>E29/C25</f>
        <v>0.18548387096774194</v>
      </c>
      <c r="G29" s="4">
        <v>6</v>
      </c>
      <c r="H29" s="2" t="s">
        <v>41</v>
      </c>
    </row>
    <row r="30" spans="1:8" ht="25.5" customHeight="1" x14ac:dyDescent="0.25">
      <c r="A30" s="10"/>
      <c r="B30" s="10"/>
      <c r="C30" s="20"/>
      <c r="D30" s="1" t="s">
        <v>11</v>
      </c>
      <c r="E30" s="1">
        <f>24+17</f>
        <v>41</v>
      </c>
      <c r="F30" s="3">
        <f>E30/C25</f>
        <v>0.16532258064516128</v>
      </c>
      <c r="G30" s="4">
        <v>3</v>
      </c>
      <c r="H30" s="2" t="s">
        <v>42</v>
      </c>
    </row>
    <row r="31" spans="1:8" ht="18.75" customHeight="1" x14ac:dyDescent="0.25">
      <c r="A31" s="17" t="s">
        <v>19</v>
      </c>
      <c r="B31" s="17"/>
      <c r="C31" s="17"/>
      <c r="D31" s="17"/>
      <c r="E31" s="17"/>
      <c r="F31" s="17"/>
      <c r="G31" s="17"/>
      <c r="H31" s="17"/>
    </row>
    <row r="32" spans="1:8" ht="21.75" customHeight="1" x14ac:dyDescent="0.25">
      <c r="A32" s="14" t="s">
        <v>55</v>
      </c>
      <c r="B32" s="15"/>
      <c r="C32" s="15"/>
      <c r="D32" s="15"/>
      <c r="E32" s="15"/>
      <c r="F32" s="15"/>
      <c r="G32" s="15"/>
      <c r="H32" s="16"/>
    </row>
    <row r="33" spans="1:8" ht="45" x14ac:dyDescent="0.25">
      <c r="A33" s="1" t="s">
        <v>0</v>
      </c>
      <c r="B33" s="2" t="s">
        <v>1</v>
      </c>
      <c r="C33" s="2" t="s">
        <v>3</v>
      </c>
      <c r="D33" s="2" t="s">
        <v>13</v>
      </c>
      <c r="E33" s="2" t="s">
        <v>14</v>
      </c>
      <c r="F33" s="1" t="s">
        <v>4</v>
      </c>
      <c r="G33" s="2" t="s">
        <v>20</v>
      </c>
      <c r="H33" s="1" t="s">
        <v>5</v>
      </c>
    </row>
    <row r="34" spans="1:8" ht="30.75" customHeight="1" x14ac:dyDescent="0.25">
      <c r="A34" s="10" t="s">
        <v>2</v>
      </c>
      <c r="B34" s="10" t="s">
        <v>56</v>
      </c>
      <c r="C34" s="18">
        <f>174+157</f>
        <v>331</v>
      </c>
      <c r="D34" s="1" t="s">
        <v>6</v>
      </c>
      <c r="E34" s="1">
        <f>44+54</f>
        <v>98</v>
      </c>
      <c r="F34" s="3">
        <f>E34/C34</f>
        <v>0.29607250755287007</v>
      </c>
      <c r="G34" s="4">
        <v>21</v>
      </c>
      <c r="H34" s="2" t="s">
        <v>43</v>
      </c>
    </row>
    <row r="35" spans="1:8" ht="43.5" customHeight="1" x14ac:dyDescent="0.25">
      <c r="A35" s="10"/>
      <c r="B35" s="10"/>
      <c r="C35" s="19"/>
      <c r="D35" s="1" t="s">
        <v>7</v>
      </c>
      <c r="E35" s="1">
        <f>53+77</f>
        <v>130</v>
      </c>
      <c r="F35" s="3">
        <f>E35/C34</f>
        <v>0.39274924471299094</v>
      </c>
      <c r="G35" s="4">
        <v>14</v>
      </c>
      <c r="H35" s="2" t="s">
        <v>44</v>
      </c>
    </row>
    <row r="36" spans="1:8" ht="26.25" customHeight="1" x14ac:dyDescent="0.25">
      <c r="A36" s="10"/>
      <c r="B36" s="10"/>
      <c r="C36" s="19"/>
      <c r="D36" s="1" t="s">
        <v>8</v>
      </c>
      <c r="E36" s="1">
        <f>22+7</f>
        <v>29</v>
      </c>
      <c r="F36" s="3">
        <f>E36/C34</f>
        <v>8.7613293051359523E-2</v>
      </c>
      <c r="G36" s="4">
        <v>0</v>
      </c>
      <c r="H36" s="2" t="s">
        <v>45</v>
      </c>
    </row>
    <row r="37" spans="1:8" ht="26.25" customHeight="1" x14ac:dyDescent="0.25">
      <c r="A37" s="10"/>
      <c r="B37" s="10"/>
      <c r="C37" s="19"/>
      <c r="D37" s="1" t="s">
        <v>9</v>
      </c>
      <c r="E37" s="1">
        <v>6</v>
      </c>
      <c r="F37" s="3">
        <f>E37/C34</f>
        <v>1.812688821752266E-2</v>
      </c>
      <c r="G37" s="4">
        <v>2</v>
      </c>
      <c r="H37" s="2" t="s">
        <v>46</v>
      </c>
    </row>
    <row r="38" spans="1:8" ht="26.25" customHeight="1" x14ac:dyDescent="0.25">
      <c r="A38" s="10"/>
      <c r="B38" s="10"/>
      <c r="C38" s="19"/>
      <c r="D38" s="1" t="s">
        <v>10</v>
      </c>
      <c r="E38" s="1">
        <f>26+7</f>
        <v>33</v>
      </c>
      <c r="F38" s="3">
        <f>E38/C34</f>
        <v>9.9697885196374625E-2</v>
      </c>
      <c r="G38" s="4">
        <v>0</v>
      </c>
      <c r="H38" s="2" t="s">
        <v>47</v>
      </c>
    </row>
    <row r="39" spans="1:8" ht="26.25" customHeight="1" x14ac:dyDescent="0.25">
      <c r="A39" s="10"/>
      <c r="B39" s="10"/>
      <c r="C39" s="20"/>
      <c r="D39" s="1" t="s">
        <v>11</v>
      </c>
      <c r="E39" s="1">
        <f>23+12</f>
        <v>35</v>
      </c>
      <c r="F39" s="3">
        <f>E39/C34</f>
        <v>0.10574018126888217</v>
      </c>
      <c r="G39" s="4">
        <v>1</v>
      </c>
      <c r="H39" s="2" t="s">
        <v>48</v>
      </c>
    </row>
    <row r="40" spans="1:8" ht="30.75" customHeight="1" x14ac:dyDescent="0.25">
      <c r="A40" s="10" t="s">
        <v>12</v>
      </c>
      <c r="B40" s="10" t="s">
        <v>57</v>
      </c>
      <c r="C40" s="18">
        <f>80+139</f>
        <v>219</v>
      </c>
      <c r="D40" s="1" t="s">
        <v>6</v>
      </c>
      <c r="E40" s="1">
        <f>22+37</f>
        <v>59</v>
      </c>
      <c r="F40" s="3">
        <f>E40/C40</f>
        <v>0.26940639269406391</v>
      </c>
      <c r="G40" s="4">
        <v>51</v>
      </c>
      <c r="H40" s="2" t="s">
        <v>49</v>
      </c>
    </row>
    <row r="41" spans="1:8" ht="30.75" customHeight="1" x14ac:dyDescent="0.25">
      <c r="A41" s="10"/>
      <c r="B41" s="10"/>
      <c r="C41" s="19"/>
      <c r="D41" s="1" t="s">
        <v>7</v>
      </c>
      <c r="E41" s="1">
        <f>28+51</f>
        <v>79</v>
      </c>
      <c r="F41" s="3">
        <f>E41/C40</f>
        <v>0.36073059360730592</v>
      </c>
      <c r="G41" s="4">
        <v>32</v>
      </c>
      <c r="H41" s="2" t="s">
        <v>50</v>
      </c>
    </row>
    <row r="42" spans="1:8" ht="24.75" customHeight="1" x14ac:dyDescent="0.25">
      <c r="A42" s="10"/>
      <c r="B42" s="10"/>
      <c r="C42" s="19"/>
      <c r="D42" s="1" t="s">
        <v>8</v>
      </c>
      <c r="E42" s="1">
        <f>3+22</f>
        <v>25</v>
      </c>
      <c r="F42" s="3">
        <f>E42/C40</f>
        <v>0.11415525114155251</v>
      </c>
      <c r="G42" s="4">
        <v>4</v>
      </c>
      <c r="H42" s="2" t="s">
        <v>51</v>
      </c>
    </row>
    <row r="43" spans="1:8" ht="24.75" customHeight="1" x14ac:dyDescent="0.25">
      <c r="A43" s="10"/>
      <c r="B43" s="10"/>
      <c r="C43" s="19"/>
      <c r="D43" s="1" t="s">
        <v>9</v>
      </c>
      <c r="E43" s="1">
        <v>7</v>
      </c>
      <c r="F43" s="3">
        <f>E43/C40</f>
        <v>3.1963470319634701E-2</v>
      </c>
      <c r="G43" s="4">
        <v>6</v>
      </c>
      <c r="H43" s="2" t="s">
        <v>52</v>
      </c>
    </row>
    <row r="44" spans="1:8" ht="24.75" customHeight="1" x14ac:dyDescent="0.25">
      <c r="A44" s="10"/>
      <c r="B44" s="10"/>
      <c r="C44" s="19"/>
      <c r="D44" s="1" t="s">
        <v>10</v>
      </c>
      <c r="E44" s="1">
        <f>8+10</f>
        <v>18</v>
      </c>
      <c r="F44" s="3">
        <f>E44/C40</f>
        <v>8.2191780821917804E-2</v>
      </c>
      <c r="G44" s="4">
        <v>2</v>
      </c>
      <c r="H44" s="2" t="s">
        <v>53</v>
      </c>
    </row>
    <row r="45" spans="1:8" ht="24.75" customHeight="1" x14ac:dyDescent="0.25">
      <c r="A45" s="10"/>
      <c r="B45" s="10"/>
      <c r="C45" s="20"/>
      <c r="D45" s="1" t="s">
        <v>11</v>
      </c>
      <c r="E45" s="1">
        <f>12+19</f>
        <v>31</v>
      </c>
      <c r="F45" s="3">
        <f>E45/C40</f>
        <v>0.14155251141552511</v>
      </c>
      <c r="G45" s="4">
        <v>7</v>
      </c>
      <c r="H45" s="2" t="s">
        <v>54</v>
      </c>
    </row>
    <row r="46" spans="1:8" ht="21" customHeight="1" x14ac:dyDescent="0.25">
      <c r="A46" s="7" t="s">
        <v>60</v>
      </c>
      <c r="B46" s="8"/>
      <c r="C46" s="8"/>
      <c r="D46" s="8"/>
      <c r="E46" s="8"/>
      <c r="F46" s="8"/>
      <c r="G46" s="8"/>
      <c r="H46" s="9"/>
    </row>
    <row r="47" spans="1:8" ht="21.75" customHeight="1" x14ac:dyDescent="0.25">
      <c r="A47" s="14" t="s">
        <v>61</v>
      </c>
      <c r="B47" s="15"/>
      <c r="C47" s="15"/>
      <c r="D47" s="15"/>
      <c r="E47" s="15"/>
      <c r="F47" s="15"/>
      <c r="G47" s="15"/>
      <c r="H47" s="16"/>
    </row>
    <row r="48" spans="1:8" ht="41.25" customHeight="1" x14ac:dyDescent="0.25">
      <c r="A48" s="5" t="s">
        <v>0</v>
      </c>
      <c r="B48" s="2" t="s">
        <v>1</v>
      </c>
      <c r="C48" s="2" t="s">
        <v>3</v>
      </c>
      <c r="D48" s="2" t="s">
        <v>13</v>
      </c>
      <c r="E48" s="2" t="s">
        <v>14</v>
      </c>
      <c r="F48" s="5" t="s">
        <v>4</v>
      </c>
      <c r="G48" s="2" t="s">
        <v>20</v>
      </c>
      <c r="H48" s="5" t="s">
        <v>5</v>
      </c>
    </row>
    <row r="49" spans="1:8" ht="30.75" customHeight="1" x14ac:dyDescent="0.25">
      <c r="A49" s="10" t="s">
        <v>2</v>
      </c>
      <c r="B49" s="10" t="s">
        <v>56</v>
      </c>
      <c r="C49" s="11">
        <f>(C4+C19+C34)/3</f>
        <v>358.66666666666669</v>
      </c>
      <c r="D49" s="5" t="s">
        <v>6</v>
      </c>
      <c r="E49" s="6">
        <f t="shared" ref="E49:E59" si="0">(E4+E19+E34)/3</f>
        <v>92.333333333333329</v>
      </c>
      <c r="F49" s="3">
        <f>E49/C49</f>
        <v>0.25743494423791818</v>
      </c>
      <c r="G49" s="6">
        <f t="shared" ref="G49:G60" si="1">(G4+G19+G34)/3</f>
        <v>13.333333333333334</v>
      </c>
      <c r="H49" s="2" t="s">
        <v>62</v>
      </c>
    </row>
    <row r="50" spans="1:8" ht="35.25" customHeight="1" x14ac:dyDescent="0.25">
      <c r="A50" s="10"/>
      <c r="B50" s="10"/>
      <c r="C50" s="12"/>
      <c r="D50" s="5" t="s">
        <v>7</v>
      </c>
      <c r="E50" s="6">
        <f t="shared" si="0"/>
        <v>121.33333333333333</v>
      </c>
      <c r="F50" s="3">
        <f>E50/C49</f>
        <v>0.33828996282527879</v>
      </c>
      <c r="G50" s="6">
        <f t="shared" si="1"/>
        <v>7</v>
      </c>
      <c r="H50" s="2" t="s">
        <v>64</v>
      </c>
    </row>
    <row r="51" spans="1:8" ht="23.25" customHeight="1" x14ac:dyDescent="0.25">
      <c r="A51" s="10"/>
      <c r="B51" s="10"/>
      <c r="C51" s="12"/>
      <c r="D51" s="5" t="s">
        <v>8</v>
      </c>
      <c r="E51" s="6">
        <f t="shared" si="0"/>
        <v>44</v>
      </c>
      <c r="F51" s="3">
        <f>E51/C49</f>
        <v>0.12267657992565055</v>
      </c>
      <c r="G51" s="6">
        <f t="shared" si="1"/>
        <v>0.66666666666666663</v>
      </c>
      <c r="H51" s="2" t="s">
        <v>66</v>
      </c>
    </row>
    <row r="52" spans="1:8" ht="23.25" customHeight="1" x14ac:dyDescent="0.25">
      <c r="A52" s="10"/>
      <c r="B52" s="10"/>
      <c r="C52" s="12"/>
      <c r="D52" s="5" t="s">
        <v>9</v>
      </c>
      <c r="E52" s="6">
        <f t="shared" si="0"/>
        <v>13.333333333333334</v>
      </c>
      <c r="F52" s="3">
        <f>E52/C49</f>
        <v>3.717472118959108E-2</v>
      </c>
      <c r="G52" s="6">
        <f t="shared" si="1"/>
        <v>1.3333333333333333</v>
      </c>
      <c r="H52" s="2" t="s">
        <v>70</v>
      </c>
    </row>
    <row r="53" spans="1:8" ht="27.75" customHeight="1" x14ac:dyDescent="0.25">
      <c r="A53" s="10"/>
      <c r="B53" s="10"/>
      <c r="C53" s="12"/>
      <c r="D53" s="5" t="s">
        <v>10</v>
      </c>
      <c r="E53" s="6">
        <f t="shared" si="0"/>
        <v>39</v>
      </c>
      <c r="F53" s="3">
        <f>E53/C49</f>
        <v>0.10873605947955389</v>
      </c>
      <c r="G53" s="6">
        <f t="shared" si="1"/>
        <v>0.33333333333333331</v>
      </c>
      <c r="H53" s="2" t="s">
        <v>72</v>
      </c>
    </row>
    <row r="54" spans="1:8" ht="23.25" customHeight="1" x14ac:dyDescent="0.25">
      <c r="A54" s="10"/>
      <c r="B54" s="10"/>
      <c r="C54" s="13"/>
      <c r="D54" s="5" t="s">
        <v>11</v>
      </c>
      <c r="E54" s="6">
        <f t="shared" si="0"/>
        <v>48.666666666666664</v>
      </c>
      <c r="F54" s="3">
        <f>E54/C49</f>
        <v>0.13568773234200743</v>
      </c>
      <c r="G54" s="6">
        <f t="shared" si="1"/>
        <v>0.33333333333333331</v>
      </c>
      <c r="H54" s="2" t="s">
        <v>68</v>
      </c>
    </row>
    <row r="55" spans="1:8" ht="31.5" customHeight="1" x14ac:dyDescent="0.25">
      <c r="A55" s="10" t="s">
        <v>12</v>
      </c>
      <c r="B55" s="10" t="s">
        <v>57</v>
      </c>
      <c r="C55" s="11">
        <f>(C10+C25+C40)/3</f>
        <v>231</v>
      </c>
      <c r="D55" s="5" t="s">
        <v>6</v>
      </c>
      <c r="E55" s="6">
        <f t="shared" si="0"/>
        <v>52</v>
      </c>
      <c r="F55" s="3">
        <f>E55/C55</f>
        <v>0.22510822510822512</v>
      </c>
      <c r="G55" s="6">
        <f t="shared" si="1"/>
        <v>32</v>
      </c>
      <c r="H55" s="2" t="s">
        <v>63</v>
      </c>
    </row>
    <row r="56" spans="1:8" ht="30" customHeight="1" x14ac:dyDescent="0.25">
      <c r="A56" s="10"/>
      <c r="B56" s="10"/>
      <c r="C56" s="12"/>
      <c r="D56" s="5" t="s">
        <v>7</v>
      </c>
      <c r="E56" s="6">
        <f t="shared" si="0"/>
        <v>66.333333333333329</v>
      </c>
      <c r="F56" s="3">
        <f>E56/C55</f>
        <v>0.28715728715728711</v>
      </c>
      <c r="G56" s="6">
        <f t="shared" si="1"/>
        <v>17.666666666666668</v>
      </c>
      <c r="H56" s="2" t="s">
        <v>65</v>
      </c>
    </row>
    <row r="57" spans="1:8" ht="21.75" customHeight="1" x14ac:dyDescent="0.25">
      <c r="A57" s="10"/>
      <c r="B57" s="10"/>
      <c r="C57" s="12"/>
      <c r="D57" s="5" t="s">
        <v>8</v>
      </c>
      <c r="E57" s="6">
        <f t="shared" si="0"/>
        <v>28</v>
      </c>
      <c r="F57" s="3">
        <f>E57/C55</f>
        <v>0.12121212121212122</v>
      </c>
      <c r="G57" s="6">
        <f t="shared" si="1"/>
        <v>4</v>
      </c>
      <c r="H57" s="2" t="s">
        <v>67</v>
      </c>
    </row>
    <row r="58" spans="1:8" ht="21.75" customHeight="1" x14ac:dyDescent="0.25">
      <c r="A58" s="10"/>
      <c r="B58" s="10"/>
      <c r="C58" s="12"/>
      <c r="D58" s="5" t="s">
        <v>9</v>
      </c>
      <c r="E58" s="6">
        <f t="shared" si="0"/>
        <v>8.6666666666666661</v>
      </c>
      <c r="F58" s="3">
        <f>E58/C55</f>
        <v>3.7518037518037513E-2</v>
      </c>
      <c r="G58" s="6">
        <f t="shared" si="1"/>
        <v>4.666666666666667</v>
      </c>
      <c r="H58" s="2" t="s">
        <v>71</v>
      </c>
    </row>
    <row r="59" spans="1:8" ht="27" customHeight="1" x14ac:dyDescent="0.25">
      <c r="A59" s="10"/>
      <c r="B59" s="10"/>
      <c r="C59" s="12"/>
      <c r="D59" s="5" t="s">
        <v>10</v>
      </c>
      <c r="E59" s="6">
        <f t="shared" si="0"/>
        <v>34.333333333333336</v>
      </c>
      <c r="F59" s="3">
        <f>E59/C55</f>
        <v>0.14862914862914864</v>
      </c>
      <c r="G59" s="6">
        <f t="shared" si="1"/>
        <v>3</v>
      </c>
      <c r="H59" s="2" t="s">
        <v>73</v>
      </c>
    </row>
    <row r="60" spans="1:8" ht="21.75" customHeight="1" x14ac:dyDescent="0.25">
      <c r="A60" s="10"/>
      <c r="B60" s="10"/>
      <c r="C60" s="13"/>
      <c r="D60" s="5" t="s">
        <v>11</v>
      </c>
      <c r="E60" s="6">
        <f>(E15+E30+E59)/3</f>
        <v>42.777777777777779</v>
      </c>
      <c r="F60" s="3">
        <f>E60/C55</f>
        <v>0.18518518518518517</v>
      </c>
      <c r="G60" s="6">
        <f t="shared" si="1"/>
        <v>4</v>
      </c>
      <c r="H60" s="2" t="s">
        <v>69</v>
      </c>
    </row>
  </sheetData>
  <mergeCells count="32">
    <mergeCell ref="A40:A45"/>
    <mergeCell ref="B40:B45"/>
    <mergeCell ref="C40:C45"/>
    <mergeCell ref="A25:A30"/>
    <mergeCell ref="B25:B30"/>
    <mergeCell ref="C25:C30"/>
    <mergeCell ref="A31:H31"/>
    <mergeCell ref="A32:H32"/>
    <mergeCell ref="A34:A39"/>
    <mergeCell ref="B34:B39"/>
    <mergeCell ref="C34:C39"/>
    <mergeCell ref="A1:H1"/>
    <mergeCell ref="A2:H2"/>
    <mergeCell ref="A16:H16"/>
    <mergeCell ref="A17:H17"/>
    <mergeCell ref="A19:A24"/>
    <mergeCell ref="B19:B24"/>
    <mergeCell ref="C19:C24"/>
    <mergeCell ref="B4:B9"/>
    <mergeCell ref="A4:A9"/>
    <mergeCell ref="A10:A15"/>
    <mergeCell ref="B10:B15"/>
    <mergeCell ref="C4:C9"/>
    <mergeCell ref="C10:C15"/>
    <mergeCell ref="A46:H46"/>
    <mergeCell ref="A49:A54"/>
    <mergeCell ref="B49:B54"/>
    <mergeCell ref="C49:C54"/>
    <mergeCell ref="A55:A60"/>
    <mergeCell ref="B55:B60"/>
    <mergeCell ref="C55:C60"/>
    <mergeCell ref="A47:H47"/>
  </mergeCells>
  <pageMargins left="0.3" right="0" top="0.4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2025-02-05T12:57:42Z</dcterms:modified>
</cp:coreProperties>
</file>